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ked Candidates" sheetId="1" state="visible" r:id="rId3"/>
    <sheet name="Summary" sheetId="2" state="visible" r:id="rId4"/>
  </sheets>
  <definedNames>
    <definedName function="false" hidden="true" localSheetId="0" name="_xlnm._FilterDatabase" vbProcedure="false">'Ranked Candidates'!$A$1:$D$101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<sst xmlns="http://schemas.openxmlformats.org/spreadsheetml/2006/main" count="209" uniqueCount="209">
  <si>
    <t xml:space="preserve">Rank</t>
  </si>
  <si>
    <t xml:space="preserve">Candidate ID</t>
  </si>
  <si>
    <t xml:space="preserve">Score</t>
  </si>
  <si>
    <t xml:space="preserve">Reasoning</t>
  </si>
  <si>
    <t xml:space="preserve">CAND_0011687</t>
  </si>
  <si>
    <t xml:space="preserve">Senior NLP Engineer at Niramai, 7.8 yrs; holds TensorFlow, OpenSearch, PEFT; city isn't among the JD's preferred or welcomed locations.</t>
  </si>
  <si>
    <t xml:space="preserve">CAND_0077337</t>
  </si>
  <si>
    <t xml:space="preserve">Holds QLoRA, pgvector, BM25; Staff Machine Learning Engineer at Paytm, 7.0 yrs; location isn't Pune/Noida or one of the JD's welcomed hub cities.</t>
  </si>
  <si>
    <t xml:space="preserve">CAND_0088025</t>
  </si>
  <si>
    <t xml:space="preserve">Staff Machine Learning Engineer at Yellow.ai, 8.6 yrs; holds QLoRA, LLMs, Hugging Face Transformers; based outside the JD's preferred India hub cities.</t>
  </si>
  <si>
    <t xml:space="preserve">CAND_0055905</t>
  </si>
  <si>
    <t xml:space="preserve">Senior Machine Learning Engineer at Flipkart, 8.1 yrs; holds Elasticsearch, LangChain, Python; city isn't among the JD's preferred or welcomed locations.</t>
  </si>
  <si>
    <t xml:space="preserve">CAND_0005538</t>
  </si>
  <si>
    <t xml:space="preserve">Senior AI Engineer at Adobe, 5.9 yrs; describes retrieval/ranking work in plain language, not buzzwords (holds Vector Representations, Deep Learning); city isn't among the JD's preferred or welcomed locations.</t>
  </si>
  <si>
    <t xml:space="preserve">CAND_0018499</t>
  </si>
  <si>
    <t xml:space="preserve">Senior Machine Learning Engineer at Zomato, 7.2 yrs; holds Deep Learning, Weaviate, Recommendation Systems.</t>
  </si>
  <si>
    <t xml:space="preserve">CAND_0002025</t>
  </si>
  <si>
    <t xml:space="preserve">Senior AI Engineer at Apple, 5.9 yrs; holds FAISS, TensorFlow, scikit-learn; city isn't among the JD's preferred or welcomed locations.</t>
  </si>
  <si>
    <t xml:space="preserve">CAND_0046525</t>
  </si>
  <si>
    <t xml:space="preserve">Holds Machine Learning, LlamaIndex, Sentence Transformers; Senior Machine Learning Engineer at Genpact AI, 6.1 yrs.</t>
  </si>
  <si>
    <t xml:space="preserve">CAND_0081846</t>
  </si>
  <si>
    <t xml:space="preserve">Holds Information Retrieval, Learning to Rank, Elasticsearch; Lead AI Engineer at Razorpay, 6.7 yrs; location isn't Pune/Noida or one of the JD's welcomed hub cities.</t>
  </si>
  <si>
    <t xml:space="preserve">CAND_0061257</t>
  </si>
  <si>
    <t xml:space="preserve">Staff Machine Learning Engineer at LinkedIn, 8.0 yrs; describes retrieval/ranking work in plain language, not buzzwords (holds Machine Learning, Search Infrastructure).</t>
  </si>
  <si>
    <t xml:space="preserve">CAND_0068351</t>
  </si>
  <si>
    <t xml:space="preserve">Lead AI Engineer at Sarvam AI, 6.4 yrs; describes retrieval/ranking work in plain language, not buzzwords (holds pgvector, Deep Learning).</t>
  </si>
  <si>
    <t xml:space="preserve">CAND_0037980</t>
  </si>
  <si>
    <t xml:space="preserve">Describes retrieval/ranking work in plain language, not buzzwords (holds LoRA, Search Infrastructure); Senior Applied Scientist at Niramai, 9.0 yrs; location isn't Pune/Noida or one of the JD's welcomed hub cities.</t>
  </si>
  <si>
    <t xml:space="preserve">CAND_0099806</t>
  </si>
  <si>
    <t xml:space="preserve">Holds LoRA, Prompt Engineering, FAISS; AI Engineer at Mad Street Den, 4.6 yrs; location isn't Pune/Noida or one of the JD's welcomed hub cities.</t>
  </si>
  <si>
    <t xml:space="preserve">CAND_0000031</t>
  </si>
  <si>
    <t xml:space="preserve">Holds Pinecone, Embeddings, Information Retrieval; Recommendation Systems Engineer at Swiggy, 6.0 yrs.</t>
  </si>
  <si>
    <t xml:space="preserve">CAND_0046064</t>
  </si>
  <si>
    <t xml:space="preserve">Senior NLP Engineer at Salesforce, 8.9 yrs; holds Python, Pinecone, Haystack; city isn't among the JD's preferred or welcomed locations.</t>
  </si>
  <si>
    <t xml:space="preserve">CAND_0080766</t>
  </si>
  <si>
    <t xml:space="preserve">Staff Machine Learning Engineer at Salesforce, 8.8 yrs; describes retrieval/ranking work in plain language, not buzzwords (holds Search Backend, LoRA); based outside the JD's preferred India hub cities.</t>
  </si>
  <si>
    <t xml:space="preserve">CAND_0006567</t>
  </si>
  <si>
    <t xml:space="preserve">Senior AI Engineer at Meta, 7.9 yrs; describes retrieval/ranking work in plain language, not buzzwords (holds scikit-learn, Model Adaptation).</t>
  </si>
  <si>
    <t xml:space="preserve">CAND_0017960</t>
  </si>
  <si>
    <t xml:space="preserve">Recommendation Systems Engineer at Nykaa, 7.7 yrs; holds QLoRA, Hugging Face Transformers, Haystack.</t>
  </si>
  <si>
    <t xml:space="preserve">CAND_0078002</t>
  </si>
  <si>
    <t xml:space="preserve">Machine Learning Engineer at Meta, 6.3 yrs; holds pgvector, TensorFlow, NLP; based outside the JD's preferred India hub cities.</t>
  </si>
  <si>
    <t xml:space="preserve">CAND_0030468</t>
  </si>
  <si>
    <t xml:space="preserve">Describes retrieval/ranking work in plain language, not buzzwords (holds Content Matching, Text Encoders); Senior Applied Scientist at Swiggy, 5.4 yrs; location isn't Pune/Noida or one of the JD's welcomed hub cities.</t>
  </si>
  <si>
    <t xml:space="preserve">CAND_0039754</t>
  </si>
  <si>
    <t xml:space="preserve">Senior Applied Scientist at Meta, 16.2 yrs; holds Fine-tuning LLMs, Qdrant, NLP; based outside the JD's preferred India hub cities.</t>
  </si>
  <si>
    <t xml:space="preserve">CAND_0071974</t>
  </si>
  <si>
    <t xml:space="preserve">Holds Weaviate, BM25, Pinecone; Senior AI Engineer at Netflix, 7.8 yrs; location isn't Pune/Noida or one of the JD's welcomed hub cities.</t>
  </si>
  <si>
    <t xml:space="preserve">CAND_0075574</t>
  </si>
  <si>
    <t xml:space="preserve">Machine Learning Engineer at Haptik, 5.7 yrs; holds pgvector, Weaviate, OpenSearch.</t>
  </si>
  <si>
    <t xml:space="preserve">CAND_0008425</t>
  </si>
  <si>
    <t xml:space="preserve">Senior NLP Engineer at Ola, 7.8 yrs; holds Learning to Rank, Qdrant, pgvector; based outside the JD's preferred India hub cities.</t>
  </si>
  <si>
    <t xml:space="preserve">CAND_0064270</t>
  </si>
  <si>
    <t xml:space="preserve">Applied ML Engineer at Verloop.io, 4.2 yrs; holds LlamaIndex, PyTorch, Learning to Rank.</t>
  </si>
  <si>
    <t xml:space="preserve">CAND_0013536</t>
  </si>
  <si>
    <t xml:space="preserve">Applied ML Engineer at Haptik, 14.1 yrs; holds Prompt Engineering, Embeddings, QLoRA; based outside the JD's preferred India hub cities.</t>
  </si>
  <si>
    <t xml:space="preserve">CAND_0042029</t>
  </si>
  <si>
    <t xml:space="preserve">Holds PyTorch, NLP, RAG; Senior Data Scientist at Flipkart, 6.5 yrs.</t>
  </si>
  <si>
    <t xml:space="preserve">CAND_0044222</t>
  </si>
  <si>
    <t xml:space="preserve">Holds LlamaIndex, OpenSearch, Deep Learning; AI Engineer at PolicyBazaar, 7.7 yrs; location isn't Pune/Noida or one of the JD's welcomed hub cities.</t>
  </si>
  <si>
    <t xml:space="preserve">CAND_0045250</t>
  </si>
  <si>
    <t xml:space="preserve">Applied ML Engineer at Rephrase.ai, 6.6 yrs; holds Sentence Transformers, Embeddings, NLP.</t>
  </si>
  <si>
    <t xml:space="preserve">CAND_0064326</t>
  </si>
  <si>
    <t xml:space="preserve">Search Engineer at Sarvam AI, 7.6 yrs; holds PyTorch, Deep Learning, Weaviate; based outside the JD's preferred India hub cities.</t>
  </si>
  <si>
    <t xml:space="preserve">CAND_0005260</t>
  </si>
  <si>
    <t xml:space="preserve">Holds Semantic Search, Deep Learning, Python; Senior NLP Engineer at Netflix, 5.2 yrs; location isn't Pune/Noida or one of the JD's welcomed hub cities.</t>
  </si>
  <si>
    <t xml:space="preserve">CAND_0039383</t>
  </si>
  <si>
    <t xml:space="preserve">Applied ML Engineer at Meesho, 7.1 yrs; holds FAISS, Hugging Face Transformers, QLoRA; city isn't among the JD's preferred or welcomed locations.</t>
  </si>
  <si>
    <t xml:space="preserve">CAND_0011432</t>
  </si>
  <si>
    <t xml:space="preserve">Senior Data Scientist at Amazon, 7.6 yrs; holds Haystack, pgvector, QLoRA; city isn't among the JD's preferred or welcomed locations.</t>
  </si>
  <si>
    <t xml:space="preserve">CAND_0093193</t>
  </si>
  <si>
    <t xml:space="preserve">Senior Machine Learning Engineer at Niramai, 7.9 yrs; describes retrieval/ranking work in plain language, not buzzwords (holds Ranking Systems, Text Encoders).</t>
  </si>
  <si>
    <t xml:space="preserve">CAND_0005649</t>
  </si>
  <si>
    <t xml:space="preserve">Holds Haystack, Deep Learning, Fine-tuning LLMs; Senior Data Scientist at Sarvam AI, 7.4 yrs.</t>
  </si>
  <si>
    <t xml:space="preserve">CAND_0010685</t>
  </si>
  <si>
    <t xml:space="preserve">NLP Engineer at Rephrase.ai, 6.7 yrs; holds Prompt Engineering, LlamaIndex, PyTorch; city isn't among the JD's preferred or welcomed locations.</t>
  </si>
  <si>
    <t xml:space="preserve">CAND_0061339</t>
  </si>
  <si>
    <t xml:space="preserve">Holds Information Retrieval, Milvus, Vector Search; Search Engineer at Rephrase.ai, 4.2 yrs; location isn't Pune/Noida or one of the JD's welcomed hub cities.</t>
  </si>
  <si>
    <t xml:space="preserve">CAND_0091909</t>
  </si>
  <si>
    <t xml:space="preserve">Machine Learning Engineer at Rephrase.ai, 6.9 yrs; holds LLMs, Pinecone, QLoRA.</t>
  </si>
  <si>
    <t xml:space="preserve">CAND_0010257</t>
  </si>
  <si>
    <t xml:space="preserve">Senior Data Scientist at Google, 6.5 yrs; holds Milvus, TensorFlow, Python; 120-day notice, longer than the JD's sub-30-day preference.</t>
  </si>
  <si>
    <t xml:space="preserve">CAND_0083879</t>
  </si>
  <si>
    <t xml:space="preserve">Machine Learning Engineer at Ola, 7.1 yrs; holds Fine-tuning LLMs, scikit-learn, Hugging Face Transformers.</t>
  </si>
  <si>
    <t xml:space="preserve">CAND_0006418</t>
  </si>
  <si>
    <t xml:space="preserve">Machine Learning Engineer at Verloop.io, 5.7 yrs; holds Semantic Search, Embeddings, Weaviate; city isn't among the JD's preferred or welcomed locations.</t>
  </si>
  <si>
    <t xml:space="preserve">CAND_0039838</t>
  </si>
  <si>
    <t xml:space="preserve">Recommendation Systems Engineer at Amazon, 4.9 yrs; holds LoRA, RAG, Milvus; city isn't among the JD's preferred or welcomed locations.</t>
  </si>
  <si>
    <t xml:space="preserve">CAND_0030031</t>
  </si>
  <si>
    <t xml:space="preserve">Holds Python, NLP, RAG; AI Engineer at Microsoft, 5.7 yrs; location isn't Pune/Noida or one of the JD's welcomed hub cities.</t>
  </si>
  <si>
    <t xml:space="preserve">CAND_0096142</t>
  </si>
  <si>
    <t xml:space="preserve">Applied ML Engineer at upGrad, 5.0 yrs; holds Pinecone, Python, NLP; 120-day notice period exceeds the JD's preferred window.</t>
  </si>
  <si>
    <t xml:space="preserve">CAND_0041669</t>
  </si>
  <si>
    <t xml:space="preserve">Holds Milvus, PEFT, Semantic Search; Recommendation Systems Engineer at CRED, 8.0 yrs.</t>
  </si>
  <si>
    <t xml:space="preserve">CAND_0086022</t>
  </si>
  <si>
    <t xml:space="preserve">Holds pgvector, Fine-tuning LLMs, Pinecone; Senior Applied Scientist at Sarvam AI, 5.3 yrs; location isn't Pune/Noida or one of the JD's welcomed hub cities.</t>
  </si>
  <si>
    <t xml:space="preserve">CAND_0079284</t>
  </si>
  <si>
    <t xml:space="preserve">Machine Learning Engineer at Google, 4.9 yrs; holds Recommendation Systems, LlamaIndex, Qdrant.</t>
  </si>
  <si>
    <t xml:space="preserve">CAND_0011162</t>
  </si>
  <si>
    <t xml:space="preserve">Holds FAISS, Vector Search, LangChain; Recommendation Systems Engineer at upGrad, 5.8 yrs; location isn't Pune/Noida or one of the JD's welcomed hub cities.</t>
  </si>
  <si>
    <t xml:space="preserve">CAND_0087364</t>
  </si>
  <si>
    <t xml:space="preserve">Recommendation Systems Engineer at Glance, 4.9 yrs; holds Deep Learning, Milvus, LlamaIndex; based outside the JD's preferred India hub cities.</t>
  </si>
  <si>
    <t xml:space="preserve">CAND_0057701</t>
  </si>
  <si>
    <t xml:space="preserve">Holds Prompt Engineering, OpenSearch, Python; Recommendation Systems Engineer at Verloop.io, 4.1 yrs; notice period (120 days) runs past the JD's sub-30-day ask.</t>
  </si>
  <si>
    <t xml:space="preserve">CAND_0074225</t>
  </si>
  <si>
    <t xml:space="preserve">Holds Elasticsearch, Milvus, Python; Machine Learning Engineer at Unacademy, 4.3 yrs; notice period (120 days) runs past the JD's sub-30-day ask.</t>
  </si>
  <si>
    <t xml:space="preserve">CAND_0050454</t>
  </si>
  <si>
    <t xml:space="preserve">Holds PyTorch, LangChain, QLoRA; AI Engineer at Rephrase.ai, 6.8 yrs.</t>
  </si>
  <si>
    <t xml:space="preserve">CAND_0009837</t>
  </si>
  <si>
    <t xml:space="preserve">Senior Data Scientist at Rephrase.ai, 4.3 yrs; holds scikit-learn, TensorFlow, PyTorch.</t>
  </si>
  <si>
    <t xml:space="preserve">CAND_0070398</t>
  </si>
  <si>
    <t xml:space="preserve">Machine Learning Engineer at Genpact AI, 7.2 yrs; holds BM25, RAG, FAISS; 120-day notice period exceeds the JD's preferred window.</t>
  </si>
  <si>
    <t xml:space="preserve">CAND_0093547</t>
  </si>
  <si>
    <t xml:space="preserve">Senior Machine Learning Engineer at PhonePe, 2.9 yrs; holds LLMs, RAG, PEFT; city isn't among the JD's preferred or welcomed locations.</t>
  </si>
  <si>
    <t xml:space="preserve">CAND_0033861</t>
  </si>
  <si>
    <t xml:space="preserve">Holds Weaviate, LLMs, LlamaIndex; Senior NLP Engineer at Mad Street Den, 8.0 yrs; location isn't Pune/Noida or one of the JD's welcomed hub cities.</t>
  </si>
  <si>
    <t xml:space="preserve">CAND_0077285</t>
  </si>
  <si>
    <t xml:space="preserve">Holds LoRA, Sentence Transformers, Embeddings; Recommendation Systems Engineer at Nykaa, 5.5 yrs; location isn't Pune/Noida or one of the JD's welcomed hub cities.</t>
  </si>
  <si>
    <t xml:space="preserve">CAND_0028793</t>
  </si>
  <si>
    <t xml:space="preserve">Search Engineer at Google, 7.2 yrs; holds Embeddings, Haystack, LoRA; 120-day notice, longer than the JD's sub-30-day preference.</t>
  </si>
  <si>
    <t xml:space="preserve">CAND_0044883</t>
  </si>
  <si>
    <t xml:space="preserve">AI Engineer at Mad Street Den, 6.3 yrs; holds BM25, Prompt Engineering, QLoRA; based outside the JD's preferred India hub cities.</t>
  </si>
  <si>
    <t xml:space="preserve">CAND_0061655</t>
  </si>
  <si>
    <t xml:space="preserve">Machine Learning Engineer at Krutrim, 4.6 yrs; holds PEFT, Pinecone, Machine Learning; city isn't among the JD's preferred or welcomed locations.</t>
  </si>
  <si>
    <t xml:space="preserve">CAND_0066376</t>
  </si>
  <si>
    <t xml:space="preserve">Applied ML Engineer at Dream11, 5.7 yrs; holds LoRA, Learning to Rank, LLMs.</t>
  </si>
  <si>
    <t xml:space="preserve">CAND_0068811</t>
  </si>
  <si>
    <t xml:space="preserve">Applied ML Engineer at Freshworks, 8.0 yrs; holds Vector Search, Qdrant, scikit-learn.</t>
  </si>
  <si>
    <t xml:space="preserve">CAND_0030953</t>
  </si>
  <si>
    <t xml:space="preserve">Search Engineer at Nykaa, 7.8 yrs; holds Qdrant, Hugging Face Transformers, Weaviate; city isn't among the JD's preferred or welcomed locations.</t>
  </si>
  <si>
    <t xml:space="preserve">CAND_0053695</t>
  </si>
  <si>
    <t xml:space="preserve">Recommendation Systems Engineer at Meesho, 5.8 yrs; holds Pinecone, LangChain, Recommendation Systems; city isn't among the JD's preferred or welcomed locations.</t>
  </si>
  <si>
    <t xml:space="preserve">CAND_0052682</t>
  </si>
  <si>
    <t xml:space="preserve">NLP Engineer at Aganitha, 6.6 yrs; holds QLoRA, Semantic Search, FAISS; city isn't among the JD's preferred or welcomed locations.</t>
  </si>
  <si>
    <t xml:space="preserve">CAND_0053591</t>
  </si>
  <si>
    <t xml:space="preserve">Holds OpenSearch, Sentence Transformers, Qdrant; AI Engineer at Ola, 5.3 yrs; location isn't Pune/Noida or one of the JD's welcomed hub cities.</t>
  </si>
  <si>
    <t xml:space="preserve">CAND_0052328</t>
  </si>
  <si>
    <t xml:space="preserve">Holds OpenSearch, QLoRA, Learning to Rank; Recommendation Systems Engineer at Amazon, 6.5 yrs.</t>
  </si>
  <si>
    <t xml:space="preserve">CAND_0060054</t>
  </si>
  <si>
    <t xml:space="preserve">AI Engineer at Mad Street Den, 6.4 yrs; holds TensorFlow, Prompt Engineering, Elasticsearch; based outside the JD's preferred India hub cities.</t>
  </si>
  <si>
    <t xml:space="preserve">CAND_0010770</t>
  </si>
  <si>
    <t xml:space="preserve">Recommendation Systems Engineer at Aganitha, 15.2 yrs; holds Haystack, Qdrant, Learning to Rank; based outside the JD's preferred India hub cities.</t>
  </si>
  <si>
    <t xml:space="preserve">CAND_0065195</t>
  </si>
  <si>
    <t xml:space="preserve">Search Engineer at CRED, 5.1 yrs; holds LLMs, QLoRA, scikit-learn; based outside the JD's preferred India hub cities.</t>
  </si>
  <si>
    <t xml:space="preserve">CAND_0069905</t>
  </si>
  <si>
    <t xml:space="preserve">Applied ML Engineer at Sarvam AI, 6.6 yrs; holds LoRA, Recommendation Systems, Sentence Transformers; city isn't among the JD's preferred or welcomed locations.</t>
  </si>
  <si>
    <t xml:space="preserve">CAND_0079387</t>
  </si>
  <si>
    <t xml:space="preserve">AI Engineer at Microsoft, 6.9 yrs; holds scikit-learn, Python, Sentence Transformers; city isn't among the JD's preferred or welcomed locations.</t>
  </si>
  <si>
    <t xml:space="preserve">CAND_0027691</t>
  </si>
  <si>
    <t xml:space="preserve">NLP Engineer at Haptik, 6.5 yrs; holds LoRA, Recommendation Systems, Weaviate.</t>
  </si>
  <si>
    <t xml:space="preserve">CAND_0007412</t>
  </si>
  <si>
    <t xml:space="preserve">Holds Pinecone, PyTorch, BM25; Applied ML Engineer at Zoho, 7.4 yrs; notice period (120 days) runs past the JD's sub-30-day ask.</t>
  </si>
  <si>
    <t xml:space="preserve">CAND_0037944</t>
  </si>
  <si>
    <t xml:space="preserve">Senior Data Scientist at Vedantu, 4.9 yrs; holds Vector Search, Machine Learning, OpenSearch; city isn't among the JD's preferred or welcomed locations.</t>
  </si>
  <si>
    <t xml:space="preserve">CAND_0032515</t>
  </si>
  <si>
    <t xml:space="preserve">Holds Vector Search, QLoRA, Fine-tuning LLMs; Machine Learning Engineer at PharmEasy, 5.1 yrs; location isn't Pune/Noida or one of the JD's welcomed hub cities.</t>
  </si>
  <si>
    <t xml:space="preserve">CAND_0029367</t>
  </si>
  <si>
    <t xml:space="preserve">Holds TensorFlow, FAISS, Sentence Transformers; Senior Data Scientist at Rephrase.ai, 5.7 yrs.</t>
  </si>
  <si>
    <t xml:space="preserve">CAND_0064904</t>
  </si>
  <si>
    <t xml:space="preserve">AI Engineer at LinkedIn, 4.9 yrs; holds Embeddings, Elasticsearch, Prompt Engineering.</t>
  </si>
  <si>
    <t xml:space="preserve">CAND_0022812</t>
  </si>
  <si>
    <t xml:space="preserve">Applied ML Engineer at Dream11, 4.5 yrs; holds Pinecone, LoRA, Prompt Engineering; city isn't among the JD's preferred or welcomed locations.</t>
  </si>
  <si>
    <t xml:space="preserve">CAND_0042506</t>
  </si>
  <si>
    <t xml:space="preserve">Holds PEFT, Fine-tuning LLMs, TensorFlow; Search Engineer at Verloop.io, 4.2 yrs.</t>
  </si>
  <si>
    <t xml:space="preserve">CAND_0095528</t>
  </si>
  <si>
    <t xml:space="preserve">Senior Data Scientist at Netflix, 5.3 yrs; holds PyTorch, Semantic Search, Vector Search; based outside the JD's preferred India hub cities.</t>
  </si>
  <si>
    <t xml:space="preserve">CAND_0041610</t>
  </si>
  <si>
    <t xml:space="preserve">Holds Elasticsearch, OpenSearch, BM25; Recommendation Systems Engineer at Zoho, 6.7 yrs; location isn't Pune/Noida or one of the JD's welcomed hub cities.</t>
  </si>
  <si>
    <t xml:space="preserve">CAND_0007009</t>
  </si>
  <si>
    <t xml:space="preserve">Recommendation Systems Engineer at Wysa, 7.9 yrs; holds Weaviate, Python, Embeddings.</t>
  </si>
  <si>
    <t xml:space="preserve">CAND_0050876</t>
  </si>
  <si>
    <t xml:space="preserve">Applied ML Engineer at Freshworks, 6.0 yrs; holds scikit-learn, OpenSearch, QLoRA; city isn't among the JD's preferred or welcomed locations.</t>
  </si>
  <si>
    <t xml:space="preserve">CAND_0081053</t>
  </si>
  <si>
    <t xml:space="preserve">NLP Engineer at Glance, 5.4 yrs; holds LoRA, QLoRA, Machine Learning; city isn't among the JD's preferred or welcomed locations.</t>
  </si>
  <si>
    <t xml:space="preserve">CAND_0075249</t>
  </si>
  <si>
    <t xml:space="preserve">Holds Sentence Transformers, Milvus, Machine Learning; Applied ML Engineer at Zomato, 6.2 yrs; location isn't Pune/Noida or one of the JD's welcomed hub cities.</t>
  </si>
  <si>
    <t xml:space="preserve">CAND_0092245</t>
  </si>
  <si>
    <t xml:space="preserve">Senior Data Scientist at Ola, 4.1 yrs; holds LlamaIndex, RAG, Hugging Face Transformers; city isn't among the JD's preferred or welcomed locations.</t>
  </si>
  <si>
    <t xml:space="preserve">CAND_0042100</t>
  </si>
  <si>
    <t xml:space="preserve">Holds Elasticsearch, Learning to Rank, Recommendation Systems; Machine Learning Engineer at Freshworks, 7.3 yrs; location isn't Pune/Noida or one of the JD's welcomed hub cities.</t>
  </si>
  <si>
    <t xml:space="preserve">CAND_0054123</t>
  </si>
  <si>
    <t xml:space="preserve">Applied ML Engineer at Meta, 4.7 yrs; holds LangChain, pgvector, Weaviate; based outside the JD's preferred India hub cities.</t>
  </si>
  <si>
    <t xml:space="preserve">CAND_0019480</t>
  </si>
  <si>
    <t xml:space="preserve">NLP Engineer at Meesho, 2.8 yrs; holds LLMs, TensorFlow, Milvus; based outside the JD's preferred India hub cities.</t>
  </si>
  <si>
    <t xml:space="preserve">CAND_0030348</t>
  </si>
  <si>
    <t xml:space="preserve">Holds LlamaIndex, PyTorch, pgvector; Machine Learning Engineer at BYJU'S, 4.5 yrs.</t>
  </si>
  <si>
    <t xml:space="preserve">CAND_0009691</t>
  </si>
  <si>
    <t xml:space="preserve">Applied ML Engineer at LinkedIn, 6.2 yrs; holds Recommendation Systems, Fine-tuning LLMs, LoRA; 120-day notice, longer than the JD's sub-30-day preference.</t>
  </si>
  <si>
    <t xml:space="preserve">CAND_0009024</t>
  </si>
  <si>
    <t xml:space="preserve">Holds PEFT, Recommendation Systems, OpenSearch; Search Engineer at Google, 5.2 yrs; location isn't Pune/Noida or one of the JD's welcomed hub cities.</t>
  </si>
  <si>
    <t xml:space="preserve">CAND_0036184</t>
  </si>
  <si>
    <t xml:space="preserve">Holds QLoRA, FAISS, Hugging Face Transformers; Recommendation Systems Engineer at CRED, 6.0 yrs; location isn't Pune/Noida or one of the JD's welcomed hub cities.</t>
  </si>
  <si>
    <t xml:space="preserve">CAND_0049538</t>
  </si>
  <si>
    <t xml:space="preserve">Holds LlamaIndex, Learning to Rank, OpenSearch; Applied ML Engineer at Saarthi.ai, 5.8 yrs; location isn't Pune/Noida or one of the JD's welcomed hub cities.</t>
  </si>
  <si>
    <t xml:space="preserve">CAND_0081686</t>
  </si>
  <si>
    <t xml:space="preserve">Search Engineer at Netflix, 6.0 yrs; holds Machine Learning, Embeddings, FAISS; based outside the JD's preferred India hub cities.</t>
  </si>
  <si>
    <t xml:space="preserve">CAND_0087630</t>
  </si>
  <si>
    <t xml:space="preserve">AI Engineer at Vedantu, 7.2 yrs; holds NLP, QLoRA, Hugging Face Transformers; city isn't among the JD's preferred or welcomed locations.</t>
  </si>
  <si>
    <t xml:space="preserve">CAND_0081852</t>
  </si>
  <si>
    <t xml:space="preserve">Senior Data Scientist at Mad Street Den, 5.9 yrs; holds Semantic Search, Milvus, pgvector.</t>
  </si>
  <si>
    <t xml:space="preserve">CAND_0056881</t>
  </si>
  <si>
    <t xml:space="preserve">Machine Learning Engineer at Zomato, 4.5 yrs; holds Elasticsearch, Hugging Face Transformers, Information Retrieval; based outside the JD's preferred India hub cities.</t>
  </si>
  <si>
    <t xml:space="preserve">CAND_0001610</t>
  </si>
  <si>
    <t xml:space="preserve">Holds Haystack, Deep Learning, Pinecone; Machine Learning Engineer at Dream11, 3.0 yrs; location isn't Pune/Noida or one of the JD's welcomed hub cities.</t>
  </si>
  <si>
    <t xml:space="preserve">MatchMind — Track 01 Submission Summary</t>
  </si>
  <si>
    <t xml:space="preserve">Total candidates ranked</t>
  </si>
  <si>
    <t xml:space="preserve">Highest score</t>
  </si>
  <si>
    <t xml:space="preserve">Lowest score (rank 100)</t>
  </si>
  <si>
    <t xml:space="preserve">Average score (top 100)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</si>
</sst>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7D45E0"/>
      <name val="Arial"/>
      <family val="0"/>
      <charset val="1"/>
    </font>
    <font>
      <b val="true"/>
      <sz val="9"/>
      <color rgb="FF2C3E50"/>
      <name val="Courier New"/>
      <family val="0"/>
      <charset val="1"/>
    </font>
    <font>
      <sz val="10"/>
      <name val="Arial"/>
      <family val="0"/>
      <charset val="1"/>
    </font>
    <font>
      <b val="true"/>
      <sz val="14"/>
      <color rgb="FF1A1A2E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D45E0"/>
          <bgColor rgb="FF000000"/>
        </patternFill>
      </fill>
    </dxf>
    <dxf>
      <fill>
        <patternFill patternType="solid">
          <fgColor rgb="FF2C3E5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D45E0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9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4.5" hidden="false" customHeight="true" outlineLevel="0" collapsed="false">
      <c r="A2" s="2" t="n">
        <v>1</v>
      </c>
      <c r="B2" s="3" t="s">
        <v>4</v>
      </c>
      <c r="C2" s="4" t="n">
        <v>1.044</v>
      </c>
      <c r="D2" s="5" t="s">
        <v>5</v>
      </c>
    </row>
    <row r="3" customFormat="false" ht="34.5" hidden="false" customHeight="true" outlineLevel="0" collapsed="false">
      <c r="A3" s="6" t="n">
        <v>2</v>
      </c>
      <c r="B3" s="7" t="s">
        <v>6</v>
      </c>
      <c r="C3" s="8" t="n">
        <v>1.0311</v>
      </c>
      <c r="D3" s="9" t="s">
        <v>7</v>
      </c>
    </row>
    <row r="4" customFormat="false" ht="34.5" hidden="false" customHeight="true" outlineLevel="0" collapsed="false">
      <c r="A4" s="2" t="n">
        <v>3</v>
      </c>
      <c r="B4" s="3" t="s">
        <v>8</v>
      </c>
      <c r="C4" s="4" t="n">
        <v>1.0275</v>
      </c>
      <c r="D4" s="5" t="s">
        <v>9</v>
      </c>
    </row>
    <row r="5" customFormat="false" ht="34.5" hidden="false" customHeight="true" outlineLevel="0" collapsed="false">
      <c r="A5" s="6" t="n">
        <v>4</v>
      </c>
      <c r="B5" s="7" t="s">
        <v>10</v>
      </c>
      <c r="C5" s="8" t="n">
        <v>1.0222</v>
      </c>
      <c r="D5" s="9" t="s">
        <v>11</v>
      </c>
    </row>
    <row r="6" customFormat="false" ht="34.5" hidden="false" customHeight="true" outlineLevel="0" collapsed="false">
      <c r="A6" s="2" t="n">
        <v>5</v>
      </c>
      <c r="B6" s="3" t="s">
        <v>12</v>
      </c>
      <c r="C6" s="4" t="n">
        <v>1.0089</v>
      </c>
      <c r="D6" s="5" t="s">
        <v>13</v>
      </c>
    </row>
    <row r="7" customFormat="false" ht="34.5" hidden="false" customHeight="true" outlineLevel="0" collapsed="false">
      <c r="A7" s="6" t="n">
        <v>6</v>
      </c>
      <c r="B7" s="7" t="s">
        <v>14</v>
      </c>
      <c r="C7" s="8" t="n">
        <v>1.0084</v>
      </c>
      <c r="D7" s="9" t="s">
        <v>15</v>
      </c>
    </row>
    <row r="8" customFormat="false" ht="34.5" hidden="false" customHeight="true" outlineLevel="0" collapsed="false">
      <c r="A8" s="2" t="n">
        <v>7</v>
      </c>
      <c r="B8" s="3" t="s">
        <v>16</v>
      </c>
      <c r="C8" s="4" t="n">
        <v>1.0069</v>
      </c>
      <c r="D8" s="5" t="s">
        <v>17</v>
      </c>
    </row>
    <row r="9" customFormat="false" ht="34.5" hidden="false" customHeight="true" outlineLevel="0" collapsed="false">
      <c r="A9" s="6" t="n">
        <v>8</v>
      </c>
      <c r="B9" s="7" t="s">
        <v>18</v>
      </c>
      <c r="C9" s="8" t="n">
        <v>1.0061</v>
      </c>
      <c r="D9" s="9" t="s">
        <v>19</v>
      </c>
    </row>
    <row r="10" customFormat="false" ht="34.5" hidden="false" customHeight="true" outlineLevel="0" collapsed="false">
      <c r="A10" s="2" t="n">
        <v>9</v>
      </c>
      <c r="B10" s="3" t="s">
        <v>20</v>
      </c>
      <c r="C10" s="4" t="n">
        <v>1.006</v>
      </c>
      <c r="D10" s="5" t="s">
        <v>21</v>
      </c>
    </row>
    <row r="11" customFormat="false" ht="34.5" hidden="false" customHeight="true" outlineLevel="0" collapsed="false">
      <c r="A11" s="6" t="n">
        <v>10</v>
      </c>
      <c r="B11" s="7" t="s">
        <v>22</v>
      </c>
      <c r="C11" s="8" t="n">
        <v>1.0002</v>
      </c>
      <c r="D11" s="9" t="s">
        <v>23</v>
      </c>
    </row>
    <row r="12" customFormat="false" ht="34.5" hidden="false" customHeight="true" outlineLevel="0" collapsed="false">
      <c r="A12" s="2" t="n">
        <v>11</v>
      </c>
      <c r="B12" s="3" t="s">
        <v>24</v>
      </c>
      <c r="C12" s="4" t="n">
        <v>0.9991</v>
      </c>
      <c r="D12" s="5" t="s">
        <v>25</v>
      </c>
    </row>
    <row r="13" customFormat="false" ht="34.5" hidden="false" customHeight="true" outlineLevel="0" collapsed="false">
      <c r="A13" s="6" t="n">
        <v>12</v>
      </c>
      <c r="B13" s="7" t="s">
        <v>26</v>
      </c>
      <c r="C13" s="8" t="n">
        <v>0.998</v>
      </c>
      <c r="D13" s="9" t="s">
        <v>27</v>
      </c>
    </row>
    <row r="14" customFormat="false" ht="34.5" hidden="false" customHeight="true" outlineLevel="0" collapsed="false">
      <c r="A14" s="2" t="n">
        <v>13</v>
      </c>
      <c r="B14" s="3" t="s">
        <v>28</v>
      </c>
      <c r="C14" s="4" t="n">
        <v>0.9927</v>
      </c>
      <c r="D14" s="5" t="s">
        <v>29</v>
      </c>
    </row>
    <row r="15" customFormat="false" ht="34.5" hidden="false" customHeight="true" outlineLevel="0" collapsed="false">
      <c r="A15" s="6" t="n">
        <v>14</v>
      </c>
      <c r="B15" s="7" t="s">
        <v>30</v>
      </c>
      <c r="C15" s="8" t="n">
        <v>0.9914</v>
      </c>
      <c r="D15" s="9" t="s">
        <v>31</v>
      </c>
    </row>
    <row r="16" customFormat="false" ht="34.5" hidden="false" customHeight="true" outlineLevel="0" collapsed="false">
      <c r="A16" s="2" t="n">
        <v>15</v>
      </c>
      <c r="B16" s="3" t="s">
        <v>32</v>
      </c>
      <c r="C16" s="4" t="n">
        <v>0.9863</v>
      </c>
      <c r="D16" s="5" t="s">
        <v>33</v>
      </c>
    </row>
    <row r="17" customFormat="false" ht="34.5" hidden="false" customHeight="true" outlineLevel="0" collapsed="false">
      <c r="A17" s="6" t="n">
        <v>16</v>
      </c>
      <c r="B17" s="7" t="s">
        <v>34</v>
      </c>
      <c r="C17" s="8" t="n">
        <v>0.9819</v>
      </c>
      <c r="D17" s="9" t="s">
        <v>35</v>
      </c>
    </row>
    <row r="18" customFormat="false" ht="34.5" hidden="false" customHeight="true" outlineLevel="0" collapsed="false">
      <c r="A18" s="2" t="n">
        <v>17</v>
      </c>
      <c r="B18" s="3" t="s">
        <v>36</v>
      </c>
      <c r="C18" s="4" t="n">
        <v>0.9705</v>
      </c>
      <c r="D18" s="5" t="s">
        <v>37</v>
      </c>
    </row>
    <row r="19" customFormat="false" ht="34.5" hidden="false" customHeight="true" outlineLevel="0" collapsed="false">
      <c r="A19" s="6" t="n">
        <v>18</v>
      </c>
      <c r="B19" s="7" t="s">
        <v>38</v>
      </c>
      <c r="C19" s="8" t="n">
        <v>0.9653</v>
      </c>
      <c r="D19" s="9" t="s">
        <v>39</v>
      </c>
    </row>
    <row r="20" customFormat="false" ht="34.5" hidden="false" customHeight="true" outlineLevel="0" collapsed="false">
      <c r="A20" s="2" t="n">
        <v>19</v>
      </c>
      <c r="B20" s="3" t="s">
        <v>40</v>
      </c>
      <c r="C20" s="4" t="n">
        <v>0.9651</v>
      </c>
      <c r="D20" s="5" t="s">
        <v>41</v>
      </c>
    </row>
    <row r="21" customFormat="false" ht="34.5" hidden="false" customHeight="true" outlineLevel="0" collapsed="false">
      <c r="A21" s="6" t="n">
        <v>20</v>
      </c>
      <c r="B21" s="7" t="s">
        <v>42</v>
      </c>
      <c r="C21" s="8" t="n">
        <v>0.9611</v>
      </c>
      <c r="D21" s="9" t="s">
        <v>43</v>
      </c>
    </row>
    <row r="22" customFormat="false" ht="34.5" hidden="false" customHeight="true" outlineLevel="0" collapsed="false">
      <c r="A22" s="2" t="n">
        <v>21</v>
      </c>
      <c r="B22" s="3" t="s">
        <v>44</v>
      </c>
      <c r="C22" s="4" t="n">
        <v>0.9601</v>
      </c>
      <c r="D22" s="5" t="s">
        <v>45</v>
      </c>
    </row>
    <row r="23" customFormat="false" ht="34.5" hidden="false" customHeight="true" outlineLevel="0" collapsed="false">
      <c r="A23" s="6" t="n">
        <v>22</v>
      </c>
      <c r="B23" s="7" t="s">
        <v>46</v>
      </c>
      <c r="C23" s="8" t="n">
        <v>0.9595</v>
      </c>
      <c r="D23" s="9" t="s">
        <v>47</v>
      </c>
    </row>
    <row r="24" customFormat="false" ht="34.5" hidden="false" customHeight="true" outlineLevel="0" collapsed="false">
      <c r="A24" s="2" t="n">
        <v>23</v>
      </c>
      <c r="B24" s="3" t="s">
        <v>48</v>
      </c>
      <c r="C24" s="4" t="n">
        <v>0.9531</v>
      </c>
      <c r="D24" s="5" t="s">
        <v>49</v>
      </c>
    </row>
    <row r="25" customFormat="false" ht="34.5" hidden="false" customHeight="true" outlineLevel="0" collapsed="false">
      <c r="A25" s="6" t="n">
        <v>24</v>
      </c>
      <c r="B25" s="7" t="s">
        <v>50</v>
      </c>
      <c r="C25" s="8" t="n">
        <v>0.9398</v>
      </c>
      <c r="D25" s="9" t="s">
        <v>51</v>
      </c>
    </row>
    <row r="26" customFormat="false" ht="34.5" hidden="false" customHeight="true" outlineLevel="0" collapsed="false">
      <c r="A26" s="2" t="n">
        <v>25</v>
      </c>
      <c r="B26" s="3" t="s">
        <v>52</v>
      </c>
      <c r="C26" s="4" t="n">
        <v>0.9381</v>
      </c>
      <c r="D26" s="5" t="s">
        <v>53</v>
      </c>
    </row>
    <row r="27" customFormat="false" ht="34.5" hidden="false" customHeight="true" outlineLevel="0" collapsed="false">
      <c r="A27" s="6" t="n">
        <v>26</v>
      </c>
      <c r="B27" s="7" t="s">
        <v>54</v>
      </c>
      <c r="C27" s="8" t="n">
        <v>0.9378</v>
      </c>
      <c r="D27" s="9" t="s">
        <v>55</v>
      </c>
    </row>
    <row r="28" customFormat="false" ht="34.5" hidden="false" customHeight="true" outlineLevel="0" collapsed="false">
      <c r="A28" s="2" t="n">
        <v>27</v>
      </c>
      <c r="B28" s="3" t="s">
        <v>56</v>
      </c>
      <c r="C28" s="4" t="n">
        <v>0.9312</v>
      </c>
      <c r="D28" s="5" t="s">
        <v>57</v>
      </c>
    </row>
    <row r="29" customFormat="false" ht="34.5" hidden="false" customHeight="true" outlineLevel="0" collapsed="false">
      <c r="A29" s="6" t="n">
        <v>28</v>
      </c>
      <c r="B29" s="7" t="s">
        <v>58</v>
      </c>
      <c r="C29" s="8" t="n">
        <v>0.9299</v>
      </c>
      <c r="D29" s="9" t="s">
        <v>59</v>
      </c>
    </row>
    <row r="30" customFormat="false" ht="34.5" hidden="false" customHeight="true" outlineLevel="0" collapsed="false">
      <c r="A30" s="2" t="n">
        <v>29</v>
      </c>
      <c r="B30" s="3" t="s">
        <v>60</v>
      </c>
      <c r="C30" s="4" t="n">
        <v>0.9283</v>
      </c>
      <c r="D30" s="5" t="s">
        <v>61</v>
      </c>
    </row>
    <row r="31" customFormat="false" ht="34.5" hidden="false" customHeight="true" outlineLevel="0" collapsed="false">
      <c r="A31" s="6" t="n">
        <v>30</v>
      </c>
      <c r="B31" s="7" t="s">
        <v>62</v>
      </c>
      <c r="C31" s="8" t="n">
        <v>0.9276</v>
      </c>
      <c r="D31" s="9" t="s">
        <v>63</v>
      </c>
    </row>
    <row r="32" customFormat="false" ht="34.5" hidden="false" customHeight="true" outlineLevel="0" collapsed="false">
      <c r="A32" s="2" t="n">
        <v>31</v>
      </c>
      <c r="B32" s="3" t="s">
        <v>64</v>
      </c>
      <c r="C32" s="4" t="n">
        <v>0.9268</v>
      </c>
      <c r="D32" s="5" t="s">
        <v>65</v>
      </c>
    </row>
    <row r="33" customFormat="false" ht="34.5" hidden="false" customHeight="true" outlineLevel="0" collapsed="false">
      <c r="A33" s="6" t="n">
        <v>32</v>
      </c>
      <c r="B33" s="7" t="s">
        <v>66</v>
      </c>
      <c r="C33" s="8" t="n">
        <v>0.9246</v>
      </c>
      <c r="D33" s="9" t="s">
        <v>67</v>
      </c>
    </row>
    <row r="34" customFormat="false" ht="34.5" hidden="false" customHeight="true" outlineLevel="0" collapsed="false">
      <c r="A34" s="2" t="n">
        <v>33</v>
      </c>
      <c r="B34" s="3" t="s">
        <v>68</v>
      </c>
      <c r="C34" s="4" t="n">
        <v>0.9245</v>
      </c>
      <c r="D34" s="5" t="s">
        <v>69</v>
      </c>
    </row>
    <row r="35" customFormat="false" ht="34.5" hidden="false" customHeight="true" outlineLevel="0" collapsed="false">
      <c r="A35" s="6" t="n">
        <v>34</v>
      </c>
      <c r="B35" s="7" t="s">
        <v>70</v>
      </c>
      <c r="C35" s="8" t="n">
        <v>0.9176</v>
      </c>
      <c r="D35" s="9" t="s">
        <v>71</v>
      </c>
    </row>
    <row r="36" customFormat="false" ht="34.5" hidden="false" customHeight="true" outlineLevel="0" collapsed="false">
      <c r="A36" s="2" t="n">
        <v>35</v>
      </c>
      <c r="B36" s="3" t="s">
        <v>72</v>
      </c>
      <c r="C36" s="4" t="n">
        <v>0.9162</v>
      </c>
      <c r="D36" s="5" t="s">
        <v>73</v>
      </c>
    </row>
    <row r="37" customFormat="false" ht="34.5" hidden="false" customHeight="true" outlineLevel="0" collapsed="false">
      <c r="A37" s="6" t="n">
        <v>36</v>
      </c>
      <c r="B37" s="7" t="s">
        <v>74</v>
      </c>
      <c r="C37" s="8" t="n">
        <v>0.9159</v>
      </c>
      <c r="D37" s="9" t="s">
        <v>75</v>
      </c>
    </row>
    <row r="38" customFormat="false" ht="34.5" hidden="false" customHeight="true" outlineLevel="0" collapsed="false">
      <c r="A38" s="2" t="n">
        <v>37</v>
      </c>
      <c r="B38" s="3" t="s">
        <v>76</v>
      </c>
      <c r="C38" s="4" t="n">
        <v>0.9123</v>
      </c>
      <c r="D38" s="5" t="s">
        <v>77</v>
      </c>
    </row>
    <row r="39" customFormat="false" ht="34.5" hidden="false" customHeight="true" outlineLevel="0" collapsed="false">
      <c r="A39" s="6" t="n">
        <v>38</v>
      </c>
      <c r="B39" s="7" t="s">
        <v>78</v>
      </c>
      <c r="C39" s="8" t="n">
        <v>0.9113</v>
      </c>
      <c r="D39" s="9" t="s">
        <v>79</v>
      </c>
    </row>
    <row r="40" customFormat="false" ht="34.5" hidden="false" customHeight="true" outlineLevel="0" collapsed="false">
      <c r="A40" s="2" t="n">
        <v>39</v>
      </c>
      <c r="B40" s="3" t="s">
        <v>80</v>
      </c>
      <c r="C40" s="4" t="n">
        <v>0.9112</v>
      </c>
      <c r="D40" s="5" t="s">
        <v>81</v>
      </c>
    </row>
    <row r="41" customFormat="false" ht="34.5" hidden="false" customHeight="true" outlineLevel="0" collapsed="false">
      <c r="A41" s="6" t="n">
        <v>40</v>
      </c>
      <c r="B41" s="7" t="s">
        <v>82</v>
      </c>
      <c r="C41" s="8" t="n">
        <v>0.9034</v>
      </c>
      <c r="D41" s="9" t="s">
        <v>83</v>
      </c>
    </row>
    <row r="42" customFormat="false" ht="34.5" hidden="false" customHeight="true" outlineLevel="0" collapsed="false">
      <c r="A42" s="2" t="n">
        <v>41</v>
      </c>
      <c r="B42" s="3" t="s">
        <v>84</v>
      </c>
      <c r="C42" s="4" t="n">
        <v>0.9018</v>
      </c>
      <c r="D42" s="5" t="s">
        <v>85</v>
      </c>
    </row>
    <row r="43" customFormat="false" ht="34.5" hidden="false" customHeight="true" outlineLevel="0" collapsed="false">
      <c r="A43" s="6" t="n">
        <v>42</v>
      </c>
      <c r="B43" s="7" t="s">
        <v>86</v>
      </c>
      <c r="C43" s="8" t="n">
        <v>0.9009</v>
      </c>
      <c r="D43" s="9" t="s">
        <v>87</v>
      </c>
    </row>
    <row r="44" customFormat="false" ht="34.5" hidden="false" customHeight="true" outlineLevel="0" collapsed="false">
      <c r="A44" s="2" t="n">
        <v>43</v>
      </c>
      <c r="B44" s="3" t="s">
        <v>88</v>
      </c>
      <c r="C44" s="4" t="n">
        <v>0.897</v>
      </c>
      <c r="D44" s="5" t="s">
        <v>89</v>
      </c>
    </row>
    <row r="45" customFormat="false" ht="34.5" hidden="false" customHeight="true" outlineLevel="0" collapsed="false">
      <c r="A45" s="6" t="n">
        <v>44</v>
      </c>
      <c r="B45" s="7" t="s">
        <v>90</v>
      </c>
      <c r="C45" s="8" t="n">
        <v>0.8923</v>
      </c>
      <c r="D45" s="9" t="s">
        <v>91</v>
      </c>
    </row>
    <row r="46" customFormat="false" ht="34.5" hidden="false" customHeight="true" outlineLevel="0" collapsed="false">
      <c r="A46" s="2" t="n">
        <v>45</v>
      </c>
      <c r="B46" s="3" t="s">
        <v>92</v>
      </c>
      <c r="C46" s="4" t="n">
        <v>0.8908</v>
      </c>
      <c r="D46" s="5" t="s">
        <v>93</v>
      </c>
    </row>
    <row r="47" customFormat="false" ht="34.5" hidden="false" customHeight="true" outlineLevel="0" collapsed="false">
      <c r="A47" s="6" t="n">
        <v>46</v>
      </c>
      <c r="B47" s="7" t="s">
        <v>94</v>
      </c>
      <c r="C47" s="8" t="n">
        <v>0.887</v>
      </c>
      <c r="D47" s="9" t="s">
        <v>95</v>
      </c>
    </row>
    <row r="48" customFormat="false" ht="34.5" hidden="false" customHeight="true" outlineLevel="0" collapsed="false">
      <c r="A48" s="2" t="n">
        <v>47</v>
      </c>
      <c r="B48" s="3" t="s">
        <v>96</v>
      </c>
      <c r="C48" s="4" t="n">
        <v>0.8788</v>
      </c>
      <c r="D48" s="5" t="s">
        <v>97</v>
      </c>
    </row>
    <row r="49" customFormat="false" ht="34.5" hidden="false" customHeight="true" outlineLevel="0" collapsed="false">
      <c r="A49" s="6" t="n">
        <v>48</v>
      </c>
      <c r="B49" s="7" t="s">
        <v>98</v>
      </c>
      <c r="C49" s="8" t="n">
        <v>0.8776</v>
      </c>
      <c r="D49" s="9" t="s">
        <v>99</v>
      </c>
    </row>
    <row r="50" customFormat="false" ht="34.5" hidden="false" customHeight="true" outlineLevel="0" collapsed="false">
      <c r="A50" s="2" t="n">
        <v>49</v>
      </c>
      <c r="B50" s="3" t="s">
        <v>100</v>
      </c>
      <c r="C50" s="4" t="n">
        <v>0.8774</v>
      </c>
      <c r="D50" s="5" t="s">
        <v>101</v>
      </c>
    </row>
    <row r="51" customFormat="false" ht="34.5" hidden="false" customHeight="true" outlineLevel="0" collapsed="false">
      <c r="A51" s="6" t="n">
        <v>50</v>
      </c>
      <c r="B51" s="7" t="s">
        <v>102</v>
      </c>
      <c r="C51" s="8" t="n">
        <v>0.8744</v>
      </c>
      <c r="D51" s="9" t="s">
        <v>103</v>
      </c>
    </row>
    <row r="52" customFormat="false" ht="34.5" hidden="false" customHeight="true" outlineLevel="0" collapsed="false">
      <c r="A52" s="2" t="n">
        <v>51</v>
      </c>
      <c r="B52" s="3" t="s">
        <v>104</v>
      </c>
      <c r="C52" s="4" t="n">
        <v>0.8699</v>
      </c>
      <c r="D52" s="5" t="s">
        <v>105</v>
      </c>
    </row>
    <row r="53" customFormat="false" ht="34.5" hidden="false" customHeight="true" outlineLevel="0" collapsed="false">
      <c r="A53" s="6" t="n">
        <v>52</v>
      </c>
      <c r="B53" s="7" t="s">
        <v>106</v>
      </c>
      <c r="C53" s="8" t="n">
        <v>0.8682</v>
      </c>
      <c r="D53" s="9" t="s">
        <v>107</v>
      </c>
    </row>
    <row r="54" customFormat="false" ht="34.5" hidden="false" customHeight="true" outlineLevel="0" collapsed="false">
      <c r="A54" s="2" t="n">
        <v>53</v>
      </c>
      <c r="B54" s="3" t="s">
        <v>108</v>
      </c>
      <c r="C54" s="4" t="n">
        <v>0.8668</v>
      </c>
      <c r="D54" s="5" t="s">
        <v>109</v>
      </c>
    </row>
    <row r="55" customFormat="false" ht="34.5" hidden="false" customHeight="true" outlineLevel="0" collapsed="false">
      <c r="A55" s="6" t="n">
        <v>54</v>
      </c>
      <c r="B55" s="7" t="s">
        <v>110</v>
      </c>
      <c r="C55" s="8" t="n">
        <v>0.8668</v>
      </c>
      <c r="D55" s="9" t="s">
        <v>111</v>
      </c>
    </row>
    <row r="56" customFormat="false" ht="34.5" hidden="false" customHeight="true" outlineLevel="0" collapsed="false">
      <c r="A56" s="2" t="n">
        <v>55</v>
      </c>
      <c r="B56" s="3" t="s">
        <v>112</v>
      </c>
      <c r="C56" s="4" t="n">
        <v>0.8607</v>
      </c>
      <c r="D56" s="5" t="s">
        <v>113</v>
      </c>
    </row>
    <row r="57" customFormat="false" ht="34.5" hidden="false" customHeight="true" outlineLevel="0" collapsed="false">
      <c r="A57" s="6" t="n">
        <v>56</v>
      </c>
      <c r="B57" s="7" t="s">
        <v>114</v>
      </c>
      <c r="C57" s="8" t="n">
        <v>0.8565</v>
      </c>
      <c r="D57" s="9" t="s">
        <v>115</v>
      </c>
    </row>
    <row r="58" customFormat="false" ht="34.5" hidden="false" customHeight="true" outlineLevel="0" collapsed="false">
      <c r="A58" s="2" t="n">
        <v>57</v>
      </c>
      <c r="B58" s="3" t="s">
        <v>116</v>
      </c>
      <c r="C58" s="4" t="n">
        <v>0.8519</v>
      </c>
      <c r="D58" s="5" t="s">
        <v>117</v>
      </c>
    </row>
    <row r="59" customFormat="false" ht="34.5" hidden="false" customHeight="true" outlineLevel="0" collapsed="false">
      <c r="A59" s="6" t="n">
        <v>58</v>
      </c>
      <c r="B59" s="7" t="s">
        <v>118</v>
      </c>
      <c r="C59" s="8" t="n">
        <v>0.8484</v>
      </c>
      <c r="D59" s="9" t="s">
        <v>119</v>
      </c>
    </row>
    <row r="60" customFormat="false" ht="34.5" hidden="false" customHeight="true" outlineLevel="0" collapsed="false">
      <c r="A60" s="2" t="n">
        <v>59</v>
      </c>
      <c r="B60" s="3" t="s">
        <v>120</v>
      </c>
      <c r="C60" s="4" t="n">
        <v>0.8472</v>
      </c>
      <c r="D60" s="5" t="s">
        <v>121</v>
      </c>
    </row>
    <row r="61" customFormat="false" ht="34.5" hidden="false" customHeight="true" outlineLevel="0" collapsed="false">
      <c r="A61" s="6" t="n">
        <v>60</v>
      </c>
      <c r="B61" s="7" t="s">
        <v>122</v>
      </c>
      <c r="C61" s="8" t="n">
        <v>0.8447</v>
      </c>
      <c r="D61" s="9" t="s">
        <v>123</v>
      </c>
    </row>
    <row r="62" customFormat="false" ht="34.5" hidden="false" customHeight="true" outlineLevel="0" collapsed="false">
      <c r="A62" s="2" t="n">
        <v>61</v>
      </c>
      <c r="B62" s="3" t="s">
        <v>124</v>
      </c>
      <c r="C62" s="4" t="n">
        <v>0.8418</v>
      </c>
      <c r="D62" s="5" t="s">
        <v>125</v>
      </c>
    </row>
    <row r="63" customFormat="false" ht="34.5" hidden="false" customHeight="true" outlineLevel="0" collapsed="false">
      <c r="A63" s="6" t="n">
        <v>62</v>
      </c>
      <c r="B63" s="7" t="s">
        <v>126</v>
      </c>
      <c r="C63" s="8" t="n">
        <v>0.8412</v>
      </c>
      <c r="D63" s="9" t="s">
        <v>127</v>
      </c>
    </row>
    <row r="64" customFormat="false" ht="34.5" hidden="false" customHeight="true" outlineLevel="0" collapsed="false">
      <c r="A64" s="2" t="n">
        <v>63</v>
      </c>
      <c r="B64" s="3" t="s">
        <v>128</v>
      </c>
      <c r="C64" s="4" t="n">
        <v>0.8411</v>
      </c>
      <c r="D64" s="5" t="s">
        <v>129</v>
      </c>
    </row>
    <row r="65" customFormat="false" ht="34.5" hidden="false" customHeight="true" outlineLevel="0" collapsed="false">
      <c r="A65" s="6" t="n">
        <v>64</v>
      </c>
      <c r="B65" s="7" t="s">
        <v>130</v>
      </c>
      <c r="C65" s="8" t="n">
        <v>0.8394</v>
      </c>
      <c r="D65" s="9" t="s">
        <v>131</v>
      </c>
    </row>
    <row r="66" customFormat="false" ht="34.5" hidden="false" customHeight="true" outlineLevel="0" collapsed="false">
      <c r="A66" s="2" t="n">
        <v>65</v>
      </c>
      <c r="B66" s="3" t="s">
        <v>132</v>
      </c>
      <c r="C66" s="4" t="n">
        <v>0.8382</v>
      </c>
      <c r="D66" s="5" t="s">
        <v>133</v>
      </c>
    </row>
    <row r="67" customFormat="false" ht="34.5" hidden="false" customHeight="true" outlineLevel="0" collapsed="false">
      <c r="A67" s="6" t="n">
        <v>66</v>
      </c>
      <c r="B67" s="7" t="s">
        <v>134</v>
      </c>
      <c r="C67" s="8" t="n">
        <v>0.8377</v>
      </c>
      <c r="D67" s="9" t="s">
        <v>135</v>
      </c>
    </row>
    <row r="68" customFormat="false" ht="34.5" hidden="false" customHeight="true" outlineLevel="0" collapsed="false">
      <c r="A68" s="2" t="n">
        <v>67</v>
      </c>
      <c r="B68" s="3" t="s">
        <v>136</v>
      </c>
      <c r="C68" s="4" t="n">
        <v>0.8366</v>
      </c>
      <c r="D68" s="5" t="s">
        <v>137</v>
      </c>
    </row>
    <row r="69" customFormat="false" ht="34.5" hidden="false" customHeight="true" outlineLevel="0" collapsed="false">
      <c r="A69" s="6" t="n">
        <v>68</v>
      </c>
      <c r="B69" s="7" t="s">
        <v>138</v>
      </c>
      <c r="C69" s="8" t="n">
        <v>0.8355</v>
      </c>
      <c r="D69" s="9" t="s">
        <v>139</v>
      </c>
    </row>
    <row r="70" customFormat="false" ht="34.5" hidden="false" customHeight="true" outlineLevel="0" collapsed="false">
      <c r="A70" s="2" t="n">
        <v>69</v>
      </c>
      <c r="B70" s="3" t="s">
        <v>140</v>
      </c>
      <c r="C70" s="4" t="n">
        <v>0.8331</v>
      </c>
      <c r="D70" s="5" t="s">
        <v>141</v>
      </c>
    </row>
    <row r="71" customFormat="false" ht="34.5" hidden="false" customHeight="true" outlineLevel="0" collapsed="false">
      <c r="A71" s="6" t="n">
        <v>70</v>
      </c>
      <c r="B71" s="7" t="s">
        <v>142</v>
      </c>
      <c r="C71" s="8" t="n">
        <v>0.8323</v>
      </c>
      <c r="D71" s="9" t="s">
        <v>143</v>
      </c>
    </row>
    <row r="72" customFormat="false" ht="34.5" hidden="false" customHeight="true" outlineLevel="0" collapsed="false">
      <c r="A72" s="2" t="n">
        <v>71</v>
      </c>
      <c r="B72" s="3" t="s">
        <v>144</v>
      </c>
      <c r="C72" s="4" t="n">
        <v>0.8323</v>
      </c>
      <c r="D72" s="5" t="s">
        <v>145</v>
      </c>
    </row>
    <row r="73" customFormat="false" ht="34.5" hidden="false" customHeight="true" outlineLevel="0" collapsed="false">
      <c r="A73" s="6" t="n">
        <v>72</v>
      </c>
      <c r="B73" s="7" t="s">
        <v>146</v>
      </c>
      <c r="C73" s="8" t="n">
        <v>0.8306</v>
      </c>
      <c r="D73" s="9" t="s">
        <v>147</v>
      </c>
    </row>
    <row r="74" customFormat="false" ht="34.5" hidden="false" customHeight="true" outlineLevel="0" collapsed="false">
      <c r="A74" s="2" t="n">
        <v>73</v>
      </c>
      <c r="B74" s="3" t="s">
        <v>148</v>
      </c>
      <c r="C74" s="4" t="n">
        <v>0.826</v>
      </c>
      <c r="D74" s="5" t="s">
        <v>149</v>
      </c>
    </row>
    <row r="75" customFormat="false" ht="34.5" hidden="false" customHeight="true" outlineLevel="0" collapsed="false">
      <c r="A75" s="6" t="n">
        <v>74</v>
      </c>
      <c r="B75" s="7" t="s">
        <v>150</v>
      </c>
      <c r="C75" s="8" t="n">
        <v>0.8255</v>
      </c>
      <c r="D75" s="9" t="s">
        <v>151</v>
      </c>
    </row>
    <row r="76" customFormat="false" ht="34.5" hidden="false" customHeight="true" outlineLevel="0" collapsed="false">
      <c r="A76" s="2" t="n">
        <v>75</v>
      </c>
      <c r="B76" s="3" t="s">
        <v>152</v>
      </c>
      <c r="C76" s="4" t="n">
        <v>0.823</v>
      </c>
      <c r="D76" s="5" t="s">
        <v>153</v>
      </c>
    </row>
    <row r="77" customFormat="false" ht="34.5" hidden="false" customHeight="true" outlineLevel="0" collapsed="false">
      <c r="A77" s="6" t="n">
        <v>76</v>
      </c>
      <c r="B77" s="7" t="s">
        <v>154</v>
      </c>
      <c r="C77" s="8" t="n">
        <v>0.821</v>
      </c>
      <c r="D77" s="9" t="s">
        <v>155</v>
      </c>
    </row>
    <row r="78" customFormat="false" ht="34.5" hidden="false" customHeight="true" outlineLevel="0" collapsed="false">
      <c r="A78" s="2" t="n">
        <v>77</v>
      </c>
      <c r="B78" s="3" t="s">
        <v>156</v>
      </c>
      <c r="C78" s="4" t="n">
        <v>0.8194</v>
      </c>
      <c r="D78" s="5" t="s">
        <v>157</v>
      </c>
    </row>
    <row r="79" customFormat="false" ht="34.5" hidden="false" customHeight="true" outlineLevel="0" collapsed="false">
      <c r="A79" s="6" t="n">
        <v>78</v>
      </c>
      <c r="B79" s="7" t="s">
        <v>158</v>
      </c>
      <c r="C79" s="8" t="n">
        <v>0.819</v>
      </c>
      <c r="D79" s="9" t="s">
        <v>159</v>
      </c>
    </row>
    <row r="80" customFormat="false" ht="34.5" hidden="false" customHeight="true" outlineLevel="0" collapsed="false">
      <c r="A80" s="2" t="n">
        <v>79</v>
      </c>
      <c r="B80" s="3" t="s">
        <v>160</v>
      </c>
      <c r="C80" s="4" t="n">
        <v>0.8186</v>
      </c>
      <c r="D80" s="5" t="s">
        <v>161</v>
      </c>
    </row>
    <row r="81" customFormat="false" ht="34.5" hidden="false" customHeight="true" outlineLevel="0" collapsed="false">
      <c r="A81" s="6" t="n">
        <v>80</v>
      </c>
      <c r="B81" s="7" t="s">
        <v>162</v>
      </c>
      <c r="C81" s="8" t="n">
        <v>0.818</v>
      </c>
      <c r="D81" s="9" t="s">
        <v>163</v>
      </c>
    </row>
    <row r="82" customFormat="false" ht="34.5" hidden="false" customHeight="true" outlineLevel="0" collapsed="false">
      <c r="A82" s="2" t="n">
        <v>81</v>
      </c>
      <c r="B82" s="3" t="s">
        <v>164</v>
      </c>
      <c r="C82" s="4" t="n">
        <v>0.8176</v>
      </c>
      <c r="D82" s="5" t="s">
        <v>165</v>
      </c>
    </row>
    <row r="83" customFormat="false" ht="34.5" hidden="false" customHeight="true" outlineLevel="0" collapsed="false">
      <c r="A83" s="6" t="n">
        <v>82</v>
      </c>
      <c r="B83" s="7" t="s">
        <v>166</v>
      </c>
      <c r="C83" s="8" t="n">
        <v>0.815</v>
      </c>
      <c r="D83" s="9" t="s">
        <v>167</v>
      </c>
    </row>
    <row r="84" customFormat="false" ht="34.5" hidden="false" customHeight="true" outlineLevel="0" collapsed="false">
      <c r="A84" s="2" t="n">
        <v>83</v>
      </c>
      <c r="B84" s="3" t="s">
        <v>168</v>
      </c>
      <c r="C84" s="4" t="n">
        <v>0.8131</v>
      </c>
      <c r="D84" s="5" t="s">
        <v>169</v>
      </c>
    </row>
    <row r="85" customFormat="false" ht="34.5" hidden="false" customHeight="true" outlineLevel="0" collapsed="false">
      <c r="A85" s="6" t="n">
        <v>84</v>
      </c>
      <c r="B85" s="7" t="s">
        <v>170</v>
      </c>
      <c r="C85" s="8" t="n">
        <v>0.8111</v>
      </c>
      <c r="D85" s="9" t="s">
        <v>171</v>
      </c>
    </row>
    <row r="86" customFormat="false" ht="34.5" hidden="false" customHeight="true" outlineLevel="0" collapsed="false">
      <c r="A86" s="2" t="n">
        <v>85</v>
      </c>
      <c r="B86" s="3" t="s">
        <v>172</v>
      </c>
      <c r="C86" s="4" t="n">
        <v>0.8065</v>
      </c>
      <c r="D86" s="5" t="s">
        <v>173</v>
      </c>
    </row>
    <row r="87" customFormat="false" ht="34.5" hidden="false" customHeight="true" outlineLevel="0" collapsed="false">
      <c r="A87" s="6" t="n">
        <v>86</v>
      </c>
      <c r="B87" s="7" t="s">
        <v>174</v>
      </c>
      <c r="C87" s="8" t="n">
        <v>0.8049</v>
      </c>
      <c r="D87" s="9" t="s">
        <v>175</v>
      </c>
    </row>
    <row r="88" customFormat="false" ht="34.5" hidden="false" customHeight="true" outlineLevel="0" collapsed="false">
      <c r="A88" s="2" t="n">
        <v>87</v>
      </c>
      <c r="B88" s="3" t="s">
        <v>176</v>
      </c>
      <c r="C88" s="4" t="n">
        <v>0.8045</v>
      </c>
      <c r="D88" s="5" t="s">
        <v>177</v>
      </c>
    </row>
    <row r="89" customFormat="false" ht="34.5" hidden="false" customHeight="true" outlineLevel="0" collapsed="false">
      <c r="A89" s="6" t="n">
        <v>88</v>
      </c>
      <c r="B89" s="7" t="s">
        <v>178</v>
      </c>
      <c r="C89" s="8" t="n">
        <v>0.8037</v>
      </c>
      <c r="D89" s="9" t="s">
        <v>179</v>
      </c>
    </row>
    <row r="90" customFormat="false" ht="34.5" hidden="false" customHeight="true" outlineLevel="0" collapsed="false">
      <c r="A90" s="2" t="n">
        <v>89</v>
      </c>
      <c r="B90" s="3" t="s">
        <v>180</v>
      </c>
      <c r="C90" s="4" t="n">
        <v>0.8015</v>
      </c>
      <c r="D90" s="5" t="s">
        <v>181</v>
      </c>
    </row>
    <row r="91" customFormat="false" ht="34.5" hidden="false" customHeight="true" outlineLevel="0" collapsed="false">
      <c r="A91" s="6" t="n">
        <v>90</v>
      </c>
      <c r="B91" s="7" t="s">
        <v>182</v>
      </c>
      <c r="C91" s="8" t="n">
        <v>0.8001</v>
      </c>
      <c r="D91" s="9" t="s">
        <v>183</v>
      </c>
    </row>
    <row r="92" customFormat="false" ht="34.5" hidden="false" customHeight="true" outlineLevel="0" collapsed="false">
      <c r="A92" s="2" t="n">
        <v>91</v>
      </c>
      <c r="B92" s="3" t="s">
        <v>184</v>
      </c>
      <c r="C92" s="4" t="n">
        <v>0.8001</v>
      </c>
      <c r="D92" s="5" t="s">
        <v>185</v>
      </c>
    </row>
    <row r="93" customFormat="false" ht="34.5" hidden="false" customHeight="true" outlineLevel="0" collapsed="false">
      <c r="A93" s="6" t="n">
        <v>92</v>
      </c>
      <c r="B93" s="7" t="s">
        <v>186</v>
      </c>
      <c r="C93" s="8" t="n">
        <v>0.7993</v>
      </c>
      <c r="D93" s="9" t="s">
        <v>187</v>
      </c>
    </row>
    <row r="94" customFormat="false" ht="34.5" hidden="false" customHeight="true" outlineLevel="0" collapsed="false">
      <c r="A94" s="2" t="n">
        <v>93</v>
      </c>
      <c r="B94" s="3" t="s">
        <v>188</v>
      </c>
      <c r="C94" s="4" t="n">
        <v>0.7991</v>
      </c>
      <c r="D94" s="5" t="s">
        <v>189</v>
      </c>
    </row>
    <row r="95" customFormat="false" ht="34.5" hidden="false" customHeight="true" outlineLevel="0" collapsed="false">
      <c r="A95" s="6" t="n">
        <v>94</v>
      </c>
      <c r="B95" s="7" t="s">
        <v>190</v>
      </c>
      <c r="C95" s="8" t="n">
        <v>0.7985</v>
      </c>
      <c r="D95" s="9" t="s">
        <v>191</v>
      </c>
    </row>
    <row r="96" customFormat="false" ht="34.5" hidden="false" customHeight="true" outlineLevel="0" collapsed="false">
      <c r="A96" s="2" t="n">
        <v>95</v>
      </c>
      <c r="B96" s="3" t="s">
        <v>192</v>
      </c>
      <c r="C96" s="4" t="n">
        <v>0.7971</v>
      </c>
      <c r="D96" s="5" t="s">
        <v>193</v>
      </c>
    </row>
    <row r="97" customFormat="false" ht="34.5" hidden="false" customHeight="true" outlineLevel="0" collapsed="false">
      <c r="A97" s="6" t="n">
        <v>96</v>
      </c>
      <c r="B97" s="7" t="s">
        <v>194</v>
      </c>
      <c r="C97" s="8" t="n">
        <v>0.7965</v>
      </c>
      <c r="D97" s="9" t="s">
        <v>195</v>
      </c>
    </row>
    <row r="98" customFormat="false" ht="34.5" hidden="false" customHeight="true" outlineLevel="0" collapsed="false">
      <c r="A98" s="2" t="n">
        <v>97</v>
      </c>
      <c r="B98" s="3" t="s">
        <v>196</v>
      </c>
      <c r="C98" s="4" t="n">
        <v>0.795</v>
      </c>
      <c r="D98" s="5" t="s">
        <v>197</v>
      </c>
    </row>
    <row r="99" customFormat="false" ht="34.5" hidden="false" customHeight="true" outlineLevel="0" collapsed="false">
      <c r="A99" s="6" t="n">
        <v>98</v>
      </c>
      <c r="B99" s="7" t="s">
        <v>198</v>
      </c>
      <c r="C99" s="8" t="n">
        <v>0.7926</v>
      </c>
      <c r="D99" s="9" t="s">
        <v>199</v>
      </c>
    </row>
    <row r="100" customFormat="false" ht="34.5" hidden="false" customHeight="true" outlineLevel="0" collapsed="false">
      <c r="A100" s="2" t="n">
        <v>99</v>
      </c>
      <c r="B100" s="3" t="s">
        <v>200</v>
      </c>
      <c r="C100" s="4" t="n">
        <v>0.7921</v>
      </c>
      <c r="D100" s="5" t="s">
        <v>201</v>
      </c>
    </row>
    <row r="101" customFormat="false" ht="34.5" hidden="false" customHeight="true" outlineLevel="0" collapsed="false">
      <c r="A101" s="6" t="n">
        <v>100</v>
      </c>
      <c r="B101" s="7" t="s">
        <v>202</v>
      </c>
      <c r="C101" s="8" t="n">
        <v>0.7913</v>
      </c>
      <c r="D101" s="9" t="s">
        <v>203</v>
      </c>
    </row>
  </sheetData>
  <autoFilter ref="A1:D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10" t="s">
        <v>204</v>
      </c>
    </row>
    <row r="3" customFormat="false" ht="15" hidden="false" customHeight="false" outlineLevel="0" collapsed="false">
      <c r="A3" s="11" t="s">
        <v>205</v>
      </c>
      <c r="B3" s="12" t="n">
        <f aca="false">COUNTA('Ranked Candidates'!B2:B101)</f>
        <v>100</v>
      </c>
    </row>
    <row r="4" customFormat="false" ht="15" hidden="false" customHeight="false" outlineLevel="0" collapsed="false">
      <c r="A4" s="11" t="s">
        <v>206</v>
      </c>
      <c r="B4" s="12" t="n">
        <f aca="false">MAX('Ranked Candidates'!C2:C101)</f>
        <v>1.044</v>
      </c>
    </row>
    <row r="5" customFormat="false" ht="15" hidden="false" customHeight="false" outlineLevel="0" collapsed="false">
      <c r="A5" s="11" t="s">
        <v>207</v>
      </c>
      <c r="B5" s="12" t="n">
        <f aca="false">MIN('Ranked Candidates'!C2:C101)</f>
        <v>0.7913</v>
      </c>
    </row>
    <row r="6" customFormat="false" ht="15" hidden="false" customHeight="false" outlineLevel="0" collapsed="false">
      <c r="A6" s="11" t="s">
        <v>208</v>
      </c>
      <c r="B6" s="12" t="n">
        <f aca="false">AVERAGE('Ranked Candidates'!C2:C101)</f>
        <v>0.886509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2026-06-28T04:35:08Z</dcterms:created>
  <dc:creator>openpyxl</dc:creator>
  <dc:description/>
  <dc:language>en-US</dc:language>
  <cp:lastModifiedBy/>
  <dcterms:modified xsi:type="dcterms:W3CDTF">2026-06-28T04:35:08Z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